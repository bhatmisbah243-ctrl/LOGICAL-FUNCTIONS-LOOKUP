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181A69A3-855F-4F0B-8D39-C901B84742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" l="1"/>
  <c r="E130" i="1"/>
  <c r="E113" i="1"/>
  <c r="E114" i="1"/>
  <c r="E112" i="1"/>
  <c r="B97" i="1"/>
  <c r="B77" i="1"/>
  <c r="E39" i="1"/>
  <c r="E40" i="1"/>
  <c r="E41" i="1"/>
  <c r="E38" i="1"/>
  <c r="D53" i="1"/>
  <c r="D54" i="1"/>
  <c r="D55" i="1"/>
  <c r="D56" i="1"/>
  <c r="D57" i="1"/>
  <c r="D19" i="1"/>
  <c r="D20" i="1"/>
  <c r="D21" i="1"/>
  <c r="D22" i="1"/>
  <c r="D18" i="1"/>
</calcChain>
</file>

<file path=xl/sharedStrings.xml><?xml version="1.0" encoding="utf-8"?>
<sst xmlns="http://schemas.openxmlformats.org/spreadsheetml/2006/main" count="170" uniqueCount="113">
  <si>
    <t>ASSIGNMEMT:</t>
  </si>
  <si>
    <t>Logical Functions &amp; Lookup</t>
  </si>
  <si>
    <t>Q NO1:</t>
  </si>
  <si>
    <t>Write a formula to check if the marks in cell are greater than or equal to 40. If yes, return , otherwise . B2 "Pass" "Fail".</t>
  </si>
  <si>
    <t xml:space="preserve">              STUDENT NAME</t>
  </si>
  <si>
    <t>MARKS</t>
  </si>
  <si>
    <t xml:space="preserve">                             RIYA</t>
  </si>
  <si>
    <t xml:space="preserve">                            SIYA</t>
  </si>
  <si>
    <t xml:space="preserve">                           RAJU</t>
  </si>
  <si>
    <t xml:space="preserve">                           RAHUL </t>
  </si>
  <si>
    <t xml:space="preserve">                           RAM</t>
  </si>
  <si>
    <t>Sol :</t>
  </si>
  <si>
    <t>FORMULA =(B2&gt;=40,"PASS","FAIL")</t>
  </si>
  <si>
    <t xml:space="preserve">        *</t>
  </si>
  <si>
    <r>
      <t xml:space="preserve">If the marks in </t>
    </r>
    <r>
      <rPr>
        <b/>
        <sz val="11"/>
        <color theme="1"/>
        <rFont val="Aptos Narrow"/>
        <family val="2"/>
        <scheme val="minor"/>
      </rPr>
      <t>B2</t>
    </r>
    <r>
      <rPr>
        <sz val="11"/>
        <color theme="1"/>
        <rFont val="Aptos Narrow"/>
        <family val="2"/>
        <scheme val="minor"/>
      </rPr>
      <t xml:space="preserve"> are </t>
    </r>
    <r>
      <rPr>
        <b/>
        <sz val="11"/>
        <color theme="1"/>
        <rFont val="Aptos Narrow"/>
        <family val="2"/>
        <scheme val="minor"/>
      </rPr>
      <t>greater than or equal to 40</t>
    </r>
    <r>
      <rPr>
        <sz val="11"/>
        <color theme="1"/>
        <rFont val="Aptos Narrow"/>
        <family val="2"/>
        <scheme val="minor"/>
      </rPr>
      <t xml:space="preserve">, it returns </t>
    </r>
    <r>
      <rPr>
        <b/>
        <sz val="11"/>
        <color theme="1"/>
        <rFont val="Aptos Narrow"/>
        <family val="2"/>
        <scheme val="minor"/>
      </rPr>
      <t>"Pass"</t>
    </r>
  </si>
  <si>
    <r>
      <t xml:space="preserve">Otherwise, it returns </t>
    </r>
    <r>
      <rPr>
        <b/>
        <sz val="11"/>
        <color theme="1"/>
        <rFont val="Aptos Narrow"/>
        <family val="2"/>
        <scheme val="minor"/>
      </rPr>
      <t>"Fail"</t>
    </r>
  </si>
  <si>
    <r>
      <rPr>
        <sz val="11"/>
        <color rgb="FF000000"/>
        <rFont val="Aptos Narrow"/>
        <scheme val="minor"/>
      </rPr>
      <t xml:space="preserve">                   </t>
    </r>
    <r>
      <rPr>
        <sz val="18"/>
        <color rgb="FF000000"/>
        <rFont val="Aptos Narrow"/>
        <scheme val="minor"/>
      </rPr>
      <t>STUDENT NAME</t>
    </r>
  </si>
  <si>
    <t>RESULT</t>
  </si>
  <si>
    <t>Q NO 2:</t>
  </si>
  <si>
    <t>A company gives a bonus  if sales are above 40,000 and attendance is greater than or equal to 90%. Write a formula to calculate whether the employee will get a bonus or not .</t>
  </si>
  <si>
    <t xml:space="preserve">              EMPLOYEE</t>
  </si>
  <si>
    <t>SALES</t>
  </si>
  <si>
    <t>ATTENDENCE</t>
  </si>
  <si>
    <t xml:space="preserve">             ARJUN</t>
  </si>
  <si>
    <t xml:space="preserve">            SIMRAN</t>
  </si>
  <si>
    <t xml:space="preserve">           ROHIT</t>
  </si>
  <si>
    <t xml:space="preserve">           ANJALI</t>
  </si>
  <si>
    <r>
      <rPr>
        <sz val="11"/>
        <color rgb="FF000000"/>
        <rFont val="Aptos Narrow"/>
        <scheme val="minor"/>
      </rPr>
      <t xml:space="preserve">THERE ARE TWO CONDITIONS TOGETHER (Sales &gt; 40,000 AND Attendance ≥ 90%), use the </t>
    </r>
    <r>
      <rPr>
        <b/>
        <sz val="11"/>
        <color rgb="FF000000"/>
        <rFont val="Aptos Narrow"/>
        <scheme val="minor"/>
      </rPr>
      <t>IF + AND</t>
    </r>
    <r>
      <rPr>
        <sz val="11"/>
        <color rgb="FF000000"/>
        <rFont val="Aptos Narrow"/>
        <scheme val="minor"/>
      </rPr>
      <t xml:space="preserve"> function.</t>
    </r>
  </si>
  <si>
    <t>Formula  =IF(AND(sales&gt;40000,attendence&gt;=90),"BONUS","NO BONUS")</t>
  </si>
  <si>
    <t xml:space="preserve">       SALES</t>
  </si>
  <si>
    <t>BONUS</t>
  </si>
  <si>
    <t xml:space="preserve">                 ARJUN</t>
  </si>
  <si>
    <t xml:space="preserve">               SIMRAN</t>
  </si>
  <si>
    <t xml:space="preserve">               ROHIT</t>
  </si>
  <si>
    <t xml:space="preserve">               ANJALI</t>
  </si>
  <si>
    <t>Q NO 3:</t>
  </si>
  <si>
    <t>Write a nested IF formula:  If marks in B2 are ≥ 90 → ,"A"≥ 75 → , "B"≥ 50 → ,"C" otherwise  "Fail".</t>
  </si>
  <si>
    <t xml:space="preserve">    STUDENT NAME</t>
  </si>
  <si>
    <t xml:space="preserve">    MARKS</t>
  </si>
  <si>
    <t xml:space="preserve"> RAJ </t>
  </si>
  <si>
    <t xml:space="preserve"> NEHA</t>
  </si>
  <si>
    <t xml:space="preserve"> VIVEK</t>
  </si>
  <si>
    <t xml:space="preserve"> RANI</t>
  </si>
  <si>
    <t xml:space="preserve"> SNEHA</t>
  </si>
  <si>
    <t xml:space="preserve">    GRADE</t>
  </si>
  <si>
    <t>FORMULA=IF($C53&gt;=90,"A",IF($C53&gt;=75,"B",IF($C53&gt;=50,"C","FAIL")</t>
  </si>
  <si>
    <t>Q no 4:</t>
  </si>
  <si>
    <t>Find the Department of Employee ID = E103. Also explain which LOOKUP function is used and why?</t>
  </si>
  <si>
    <t xml:space="preserve">   EMPLOYEE ID</t>
  </si>
  <si>
    <t xml:space="preserve">  NAME</t>
  </si>
  <si>
    <t xml:space="preserve"> DEPARTMENT</t>
  </si>
  <si>
    <t xml:space="preserve"> E101</t>
  </si>
  <si>
    <t>RAJU</t>
  </si>
  <si>
    <t xml:space="preserve">    IT   </t>
  </si>
  <si>
    <t xml:space="preserve"> E102</t>
  </si>
  <si>
    <t>RIYA</t>
  </si>
  <si>
    <t xml:space="preserve">    HR</t>
  </si>
  <si>
    <t xml:space="preserve"> E103</t>
  </si>
  <si>
    <t>ROSHNI</t>
  </si>
  <si>
    <t xml:space="preserve">  FINANCE</t>
  </si>
  <si>
    <t xml:space="preserve"> E104</t>
  </si>
  <si>
    <t>SEJAL</t>
  </si>
  <si>
    <t xml:space="preserve">   SALES</t>
  </si>
  <si>
    <t>To find the Department of Employee ID = E103,                                                                             VLOOKUP function because the lookup value (Employee ID) is in the first column THAT IS VERTICAL.</t>
  </si>
  <si>
    <t xml:space="preserve"> FORMULA=VLOOLUP(E103,B72:D75,3,FALSE)</t>
  </si>
  <si>
    <t>Q NO 5:</t>
  </si>
  <si>
    <t>A company has set the following commission structure for its sales team:</t>
  </si>
  <si>
    <t xml:space="preserve">                                                       SALES AMOUNT</t>
  </si>
  <si>
    <t>COMMISSION RATE</t>
  </si>
  <si>
    <t>If a salesperson achieves sales of ₹45,000, use the VLOOKUP function to determine the commission rate applicable.</t>
  </si>
  <si>
    <t xml:space="preserve">                SALESPERSON ACHIEVE SALES</t>
  </si>
  <si>
    <t>Q NO 6:</t>
  </si>
  <si>
    <t>The HR department maintains the following leave records of employees:onus or not .</t>
  </si>
  <si>
    <t xml:space="preserve">              EMPLOYEE NAME</t>
  </si>
  <si>
    <t xml:space="preserve">       LEAVES TAKEN</t>
  </si>
  <si>
    <t xml:space="preserve">                                                         LEAVES ALLOWED</t>
  </si>
  <si>
    <t xml:space="preserve">                   ALEX</t>
  </si>
  <si>
    <t xml:space="preserve">                   BOB</t>
  </si>
  <si>
    <t xml:space="preserve">                  ANNA</t>
  </si>
  <si>
    <t>Write an IF function to check whether an employee has Exceeded their allowed leave balance.</t>
  </si>
  <si>
    <t>If Leaves Taken &gt; Allowed Leaves, display "Exceeded".</t>
  </si>
  <si>
    <t>Otherwise, display "OK".</t>
  </si>
  <si>
    <t xml:space="preserve">        LEAVES TAKEN</t>
  </si>
  <si>
    <t xml:space="preserve">                                                        LEAVES ALLOWED</t>
  </si>
  <si>
    <t xml:space="preserve">                         STATUS</t>
  </si>
  <si>
    <t>FORMULA =IF(LEAVES TAKEN&gt;LEAVES ALLOWED,"EXCEEDED","OK")</t>
  </si>
  <si>
    <t>Q NO 7:</t>
  </si>
  <si>
    <t>Find the salary of EmpID = E105 using INDEX-MATCH Function.</t>
  </si>
  <si>
    <t xml:space="preserve">                    EMPLOYEE ID</t>
  </si>
  <si>
    <t xml:space="preserve">               SALARY</t>
  </si>
  <si>
    <t xml:space="preserve">                       E104</t>
  </si>
  <si>
    <t xml:space="preserve">                       E105</t>
  </si>
  <si>
    <t xml:space="preserve">                      E106</t>
  </si>
  <si>
    <t xml:space="preserve">                      E107</t>
  </si>
  <si>
    <t>FORMULA=INDEX(55000:41000,MATCH(E105,E104:E107,0)))</t>
  </si>
  <si>
    <t xml:space="preserve">              SALARY</t>
  </si>
  <si>
    <t>E104</t>
  </si>
  <si>
    <t>E105</t>
  </si>
  <si>
    <t>E106</t>
  </si>
  <si>
    <t>E107</t>
  </si>
  <si>
    <t>Q NO 8:</t>
  </si>
  <si>
    <t>Use the XLOOKUP function to find the Department of the employee with Emp ID = E303.</t>
  </si>
  <si>
    <t xml:space="preserve">  EMPLOYEE ID</t>
  </si>
  <si>
    <t xml:space="preserve">         SALARY</t>
  </si>
  <si>
    <t>E101</t>
  </si>
  <si>
    <t xml:space="preserve">          HR</t>
  </si>
  <si>
    <t>E303</t>
  </si>
  <si>
    <t xml:space="preserve">           IT</t>
  </si>
  <si>
    <t xml:space="preserve">            SALES</t>
  </si>
  <si>
    <t>E301</t>
  </si>
  <si>
    <t xml:space="preserve">         FINANCE</t>
  </si>
  <si>
    <t>FORMULA=XLOOKUP(E303,E101:E301,HR:FINANCE,"NOT FOUND")</t>
  </si>
  <si>
    <t xml:space="preserve">  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</si>
</sst>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8"/>
      <color rgb="FF000000"/>
      <name val="Aptos Narrow"/>
      <scheme val="minor"/>
    </font>
    <font>
      <b/>
      <sz val="13.5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2" borderId="0" xfId="0" applyFont="1" applyFill="1"/>
    <xf numFmtId="0" fontId="1" fillId="2" borderId="0" xfId="0" applyFont="1" applyFill="1"/>
    <xf numFmtId="0" fontId="6" fillId="0" borderId="0" xfId="0" applyFont="1" applyAlignment="1">
      <alignment wrapText="1"/>
    </xf>
    <xf numFmtId="0" fontId="7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workbookViewId="0">
      <selection activeCell="C1" sqref="C1"/>
    </sheetView>
  </sheetViews>
  <sheetFormatPr defaultRowHeight="15"/>
  <cols>
    <col min="2" max="2" width="36.5703125" bestFit="1" customWidth="1"/>
    <col min="3" max="3" width="18.42578125" bestFit="1" customWidth="1"/>
    <col min="4" max="4" width="41.5703125" customWidth="1"/>
    <col min="5" max="5" width="36.5703125" bestFit="1" customWidth="1"/>
  </cols>
  <sheetData>
    <row r="1" spans="1:4" ht="24">
      <c r="C1" s="19" t="s">
        <v>0</v>
      </c>
      <c r="D1" s="18" t="s">
        <v>1</v>
      </c>
    </row>
    <row r="3" spans="1:4" ht="43.5">
      <c r="A3" t="s">
        <v>2</v>
      </c>
      <c r="B3" s="1" t="s">
        <v>3</v>
      </c>
    </row>
    <row r="5" spans="1:4" ht="24">
      <c r="B5" s="2" t="s">
        <v>4</v>
      </c>
      <c r="C5" s="2" t="s">
        <v>5</v>
      </c>
    </row>
    <row r="6" spans="1:4">
      <c r="B6" t="s">
        <v>6</v>
      </c>
      <c r="C6">
        <v>45</v>
      </c>
    </row>
    <row r="7" spans="1:4">
      <c r="B7" t="s">
        <v>7</v>
      </c>
      <c r="C7">
        <v>72</v>
      </c>
    </row>
    <row r="8" spans="1:4">
      <c r="B8" t="s">
        <v>8</v>
      </c>
      <c r="C8">
        <v>55</v>
      </c>
    </row>
    <row r="9" spans="1:4">
      <c r="B9" t="s">
        <v>9</v>
      </c>
      <c r="C9">
        <v>80</v>
      </c>
    </row>
    <row r="10" spans="1:4">
      <c r="B10" t="s">
        <v>10</v>
      </c>
      <c r="C10">
        <v>33</v>
      </c>
    </row>
    <row r="12" spans="1:4">
      <c r="A12" t="s">
        <v>11</v>
      </c>
      <c r="B12" s="11" t="s">
        <v>12</v>
      </c>
    </row>
    <row r="14" spans="1:4" ht="29.25">
      <c r="A14" t="s">
        <v>13</v>
      </c>
      <c r="B14" s="1" t="s">
        <v>14</v>
      </c>
    </row>
    <row r="15" spans="1:4">
      <c r="A15" t="s">
        <v>13</v>
      </c>
      <c r="B15" t="s">
        <v>15</v>
      </c>
    </row>
    <row r="17" spans="1:5" ht="24">
      <c r="B17" s="3" t="s">
        <v>16</v>
      </c>
      <c r="C17" s="4" t="s">
        <v>5</v>
      </c>
      <c r="D17" s="4" t="s">
        <v>17</v>
      </c>
    </row>
    <row r="18" spans="1:5">
      <c r="B18" t="s">
        <v>6</v>
      </c>
      <c r="C18">
        <v>45</v>
      </c>
      <c r="D18" t="str">
        <f>IF($C18&gt;=40,"PASS","FAIL")</f>
        <v>PASS</v>
      </c>
    </row>
    <row r="19" spans="1:5">
      <c r="B19" t="s">
        <v>7</v>
      </c>
      <c r="C19">
        <v>72</v>
      </c>
      <c r="D19" t="str">
        <f t="shared" ref="D19:D23" si="0">IF($C19&gt;=40,"PASS","FAIL")</f>
        <v>PASS</v>
      </c>
    </row>
    <row r="20" spans="1:5">
      <c r="B20" t="s">
        <v>8</v>
      </c>
      <c r="C20">
        <v>55</v>
      </c>
      <c r="D20" t="str">
        <f t="shared" si="0"/>
        <v>PASS</v>
      </c>
    </row>
    <row r="21" spans="1:5">
      <c r="B21" t="s">
        <v>9</v>
      </c>
      <c r="C21">
        <v>80</v>
      </c>
      <c r="D21" t="str">
        <f t="shared" si="0"/>
        <v>PASS</v>
      </c>
    </row>
    <row r="22" spans="1:5">
      <c r="B22" t="s">
        <v>10</v>
      </c>
      <c r="C22">
        <v>33</v>
      </c>
      <c r="D22" t="str">
        <f t="shared" si="0"/>
        <v>FAIL</v>
      </c>
    </row>
    <row r="24" spans="1:5" ht="72.75">
      <c r="A24" t="s">
        <v>18</v>
      </c>
      <c r="B24" s="1" t="s">
        <v>19</v>
      </c>
    </row>
    <row r="25" spans="1:5">
      <c r="B25" t="s">
        <v>20</v>
      </c>
      <c r="C25" t="s">
        <v>21</v>
      </c>
      <c r="D25" t="s">
        <v>22</v>
      </c>
    </row>
    <row r="26" spans="1:5">
      <c r="B26" t="s">
        <v>23</v>
      </c>
      <c r="C26">
        <v>55000</v>
      </c>
      <c r="D26">
        <v>95</v>
      </c>
      <c r="E26" s="1"/>
    </row>
    <row r="27" spans="1:5">
      <c r="B27" t="s">
        <v>24</v>
      </c>
      <c r="C27">
        <v>65000</v>
      </c>
      <c r="D27">
        <v>85</v>
      </c>
    </row>
    <row r="28" spans="1:5">
      <c r="B28" t="s">
        <v>25</v>
      </c>
      <c r="C28">
        <v>30000</v>
      </c>
      <c r="D28">
        <v>90</v>
      </c>
    </row>
    <row r="29" spans="1:5">
      <c r="B29" t="s">
        <v>26</v>
      </c>
      <c r="C29">
        <v>25000</v>
      </c>
      <c r="D29">
        <v>65</v>
      </c>
    </row>
    <row r="31" spans="1:5" ht="57.75">
      <c r="A31" t="s">
        <v>11</v>
      </c>
      <c r="B31" s="5" t="s">
        <v>27</v>
      </c>
    </row>
    <row r="32" spans="1:5" ht="51.75">
      <c r="B32" s="10" t="s">
        <v>28</v>
      </c>
    </row>
    <row r="34" spans="1:5" ht="15.75">
      <c r="B34" s="6"/>
    </row>
    <row r="35" spans="1:5" ht="15.75">
      <c r="B35" s="6"/>
    </row>
    <row r="37" spans="1:5">
      <c r="B37" t="s">
        <v>20</v>
      </c>
      <c r="C37" t="s">
        <v>29</v>
      </c>
      <c r="D37" t="s">
        <v>22</v>
      </c>
      <c r="E37" t="s">
        <v>30</v>
      </c>
    </row>
    <row r="38" spans="1:5" ht="29.25">
      <c r="B38" t="s">
        <v>31</v>
      </c>
      <c r="C38">
        <v>55000</v>
      </c>
      <c r="D38">
        <v>95</v>
      </c>
      <c r="E38" s="1" t="str">
        <f>IF(AND($C38&gt;40000,$D38&gt;=90),"BONUS","NO BONUS")</f>
        <v>BONUS</v>
      </c>
    </row>
    <row r="39" spans="1:5">
      <c r="B39" t="s">
        <v>32</v>
      </c>
      <c r="C39">
        <v>65000</v>
      </c>
      <c r="D39">
        <v>85</v>
      </c>
      <c r="E39" s="1" t="str">
        <f t="shared" ref="E39:E41" si="1">IF(AND($C39&gt;40000,$D39&gt;=90),"BONUS","NO BONUS")</f>
        <v>NO BONUS</v>
      </c>
    </row>
    <row r="40" spans="1:5">
      <c r="B40" t="s">
        <v>33</v>
      </c>
      <c r="C40">
        <v>30000</v>
      </c>
      <c r="D40">
        <v>90</v>
      </c>
      <c r="E40" s="1" t="str">
        <f t="shared" si="1"/>
        <v>NO BONUS</v>
      </c>
    </row>
    <row r="41" spans="1:5">
      <c r="B41" t="s">
        <v>34</v>
      </c>
      <c r="C41">
        <v>25000</v>
      </c>
      <c r="D41">
        <v>65</v>
      </c>
      <c r="E41" s="1" t="str">
        <f t="shared" si="1"/>
        <v>NO BONUS</v>
      </c>
    </row>
    <row r="43" spans="1:5" ht="43.5">
      <c r="A43" t="s">
        <v>35</v>
      </c>
      <c r="B43" s="1" t="s">
        <v>36</v>
      </c>
    </row>
    <row r="45" spans="1:5">
      <c r="B45" s="7" t="s">
        <v>37</v>
      </c>
      <c r="C45" s="7" t="s">
        <v>38</v>
      </c>
    </row>
    <row r="46" spans="1:5">
      <c r="B46" t="s">
        <v>39</v>
      </c>
      <c r="C46">
        <v>85</v>
      </c>
    </row>
    <row r="47" spans="1:5">
      <c r="B47" t="s">
        <v>40</v>
      </c>
      <c r="C47">
        <v>96</v>
      </c>
    </row>
    <row r="48" spans="1:5">
      <c r="B48" t="s">
        <v>41</v>
      </c>
      <c r="C48">
        <v>57</v>
      </c>
    </row>
    <row r="49" spans="1:4">
      <c r="B49" t="s">
        <v>42</v>
      </c>
      <c r="C49">
        <v>92</v>
      </c>
    </row>
    <row r="50" spans="1:4">
      <c r="B50" t="s">
        <v>43</v>
      </c>
      <c r="C50">
        <v>75</v>
      </c>
    </row>
    <row r="52" spans="1:4">
      <c r="A52" t="s">
        <v>11</v>
      </c>
      <c r="B52" s="8" t="s">
        <v>37</v>
      </c>
      <c r="C52" s="8" t="s">
        <v>38</v>
      </c>
      <c r="D52" s="8" t="s">
        <v>44</v>
      </c>
    </row>
    <row r="53" spans="1:4">
      <c r="B53" t="s">
        <v>39</v>
      </c>
      <c r="C53">
        <v>85</v>
      </c>
      <c r="D53" s="1" t="str">
        <f>IF($C53&gt;=90,"A",IF($C53&gt;=75,"B",IF($C53&gt;=50,"C","FAIL")))</f>
        <v>B</v>
      </c>
    </row>
    <row r="54" spans="1:4">
      <c r="B54" t="s">
        <v>40</v>
      </c>
      <c r="C54">
        <v>96</v>
      </c>
      <c r="D54" s="1" t="str">
        <f t="shared" ref="D54:D57" si="2">IF($C54&gt;=90,"A",IF($C54&gt;=75,"B",IF($C54&gt;=50,"C","FAIL")))</f>
        <v>A</v>
      </c>
    </row>
    <row r="55" spans="1:4">
      <c r="B55" t="s">
        <v>41</v>
      </c>
      <c r="C55">
        <v>57</v>
      </c>
      <c r="D55" s="1" t="str">
        <f t="shared" si="2"/>
        <v>C</v>
      </c>
    </row>
    <row r="56" spans="1:4">
      <c r="B56" t="s">
        <v>42</v>
      </c>
      <c r="C56">
        <v>92</v>
      </c>
      <c r="D56" s="1" t="str">
        <f t="shared" si="2"/>
        <v>A</v>
      </c>
    </row>
    <row r="57" spans="1:4">
      <c r="B57" t="s">
        <v>43</v>
      </c>
      <c r="C57">
        <v>75</v>
      </c>
      <c r="D57" s="1" t="str">
        <f t="shared" si="2"/>
        <v>B</v>
      </c>
    </row>
    <row r="59" spans="1:4" ht="29.25">
      <c r="B59" s="9" t="s">
        <v>45</v>
      </c>
    </row>
    <row r="61" spans="1:4" ht="43.5">
      <c r="A61" t="s">
        <v>46</v>
      </c>
      <c r="B61" s="1" t="s">
        <v>47</v>
      </c>
    </row>
    <row r="63" spans="1:4">
      <c r="B63" t="s">
        <v>48</v>
      </c>
      <c r="C63" t="s">
        <v>49</v>
      </c>
      <c r="D63" t="s">
        <v>50</v>
      </c>
    </row>
    <row r="64" spans="1:4">
      <c r="B64" t="s">
        <v>51</v>
      </c>
      <c r="C64" t="s">
        <v>52</v>
      </c>
      <c r="D64" t="s">
        <v>53</v>
      </c>
    </row>
    <row r="65" spans="1:4">
      <c r="B65" t="s">
        <v>54</v>
      </c>
      <c r="C65" t="s">
        <v>55</v>
      </c>
      <c r="D65" t="s">
        <v>56</v>
      </c>
    </row>
    <row r="66" spans="1:4">
      <c r="B66" t="s">
        <v>57</v>
      </c>
      <c r="C66" t="s">
        <v>58</v>
      </c>
      <c r="D66" t="s">
        <v>59</v>
      </c>
    </row>
    <row r="67" spans="1:4">
      <c r="B67" t="s">
        <v>60</v>
      </c>
      <c r="C67" t="s">
        <v>61</v>
      </c>
      <c r="D67" t="s">
        <v>62</v>
      </c>
    </row>
    <row r="69" spans="1:4" ht="72.75">
      <c r="A69" t="s">
        <v>11</v>
      </c>
      <c r="B69" s="1" t="s">
        <v>63</v>
      </c>
    </row>
    <row r="71" spans="1:4">
      <c r="B71" s="12" t="s">
        <v>48</v>
      </c>
      <c r="C71" s="12" t="s">
        <v>49</v>
      </c>
      <c r="D71" s="12" t="s">
        <v>50</v>
      </c>
    </row>
    <row r="72" spans="1:4">
      <c r="B72" t="s">
        <v>51</v>
      </c>
      <c r="C72" t="s">
        <v>52</v>
      </c>
      <c r="D72" t="s">
        <v>53</v>
      </c>
    </row>
    <row r="73" spans="1:4">
      <c r="B73" t="s">
        <v>54</v>
      </c>
      <c r="C73" t="s">
        <v>55</v>
      </c>
      <c r="D73" t="s">
        <v>56</v>
      </c>
    </row>
    <row r="74" spans="1:4">
      <c r="B74" t="s">
        <v>57</v>
      </c>
      <c r="C74" t="s">
        <v>58</v>
      </c>
      <c r="D74" t="s">
        <v>59</v>
      </c>
    </row>
    <row r="75" spans="1:4">
      <c r="B75" t="s">
        <v>60</v>
      </c>
      <c r="C75" t="s">
        <v>61</v>
      </c>
      <c r="D75" t="s">
        <v>62</v>
      </c>
    </row>
    <row r="77" spans="1:4">
      <c r="B77" s="12" t="str">
        <f>VLOOKUP(B74,B72:D75,3,FALSE)</f>
        <v xml:space="preserve">  FINANCE</v>
      </c>
    </row>
    <row r="78" spans="1:4" ht="43.5">
      <c r="B78" s="1" t="s">
        <v>64</v>
      </c>
    </row>
    <row r="80" spans="1:4" ht="29.25">
      <c r="A80" t="s">
        <v>65</v>
      </c>
      <c r="B80" s="1" t="s">
        <v>66</v>
      </c>
    </row>
    <row r="82" spans="1:4">
      <c r="B82" t="s">
        <v>67</v>
      </c>
      <c r="C82" t="s">
        <v>68</v>
      </c>
    </row>
    <row r="83" spans="1:4">
      <c r="B83">
        <v>0</v>
      </c>
      <c r="C83" s="13">
        <v>0.05</v>
      </c>
    </row>
    <row r="84" spans="1:4">
      <c r="B84">
        <v>20000</v>
      </c>
      <c r="C84" s="13">
        <v>0.1</v>
      </c>
    </row>
    <row r="85" spans="1:4">
      <c r="B85">
        <v>50000</v>
      </c>
      <c r="C85" s="13">
        <v>0.15</v>
      </c>
    </row>
    <row r="86" spans="1:4">
      <c r="B86">
        <v>80000</v>
      </c>
      <c r="C86" s="13">
        <v>0.2</v>
      </c>
    </row>
    <row r="88" spans="1:4" ht="57.75">
      <c r="B88" s="1" t="s">
        <v>69</v>
      </c>
    </row>
    <row r="90" spans="1:4">
      <c r="A90" t="s">
        <v>11</v>
      </c>
      <c r="B90" s="14" t="s">
        <v>67</v>
      </c>
      <c r="C90" s="14" t="s">
        <v>68</v>
      </c>
      <c r="D90" t="s">
        <v>70</v>
      </c>
    </row>
    <row r="91" spans="1:4">
      <c r="B91">
        <v>0</v>
      </c>
      <c r="C91" s="13">
        <v>0.05</v>
      </c>
      <c r="D91">
        <v>45000</v>
      </c>
    </row>
    <row r="92" spans="1:4">
      <c r="B92">
        <v>20000</v>
      </c>
      <c r="C92" s="13">
        <v>0.1</v>
      </c>
    </row>
    <row r="93" spans="1:4">
      <c r="B93">
        <v>50000</v>
      </c>
      <c r="C93" s="13">
        <v>0.15</v>
      </c>
    </row>
    <row r="94" spans="1:4">
      <c r="B94">
        <v>80000</v>
      </c>
      <c r="C94" s="13">
        <v>0.2</v>
      </c>
    </row>
    <row r="97" spans="1:5">
      <c r="B97">
        <f>VLOOKUP(D91,B91:C94,2,TRUE)</f>
        <v>0.1</v>
      </c>
    </row>
    <row r="100" spans="1:5" ht="43.5">
      <c r="A100" t="s">
        <v>71</v>
      </c>
      <c r="B100" s="1" t="s">
        <v>72</v>
      </c>
    </row>
    <row r="102" spans="1:5">
      <c r="B102" t="s">
        <v>73</v>
      </c>
      <c r="C102" t="s">
        <v>74</v>
      </c>
      <c r="D102" t="s">
        <v>75</v>
      </c>
    </row>
    <row r="103" spans="1:5">
      <c r="B103" t="s">
        <v>76</v>
      </c>
      <c r="C103">
        <v>10</v>
      </c>
      <c r="D103">
        <v>12</v>
      </c>
    </row>
    <row r="104" spans="1:5">
      <c r="B104" t="s">
        <v>77</v>
      </c>
      <c r="C104">
        <v>10</v>
      </c>
      <c r="D104">
        <v>15</v>
      </c>
    </row>
    <row r="105" spans="1:5">
      <c r="B105" t="s">
        <v>78</v>
      </c>
      <c r="C105">
        <v>8</v>
      </c>
      <c r="D105">
        <v>12</v>
      </c>
    </row>
    <row r="107" spans="1:5" ht="43.5">
      <c r="B107" s="1" t="s">
        <v>79</v>
      </c>
    </row>
    <row r="108" spans="1:5" ht="29.25">
      <c r="A108">
        <v>1</v>
      </c>
      <c r="B108" s="1" t="s">
        <v>80</v>
      </c>
    </row>
    <row r="109" spans="1:5">
      <c r="A109">
        <v>2</v>
      </c>
      <c r="B109" t="s">
        <v>81</v>
      </c>
    </row>
    <row r="111" spans="1:5">
      <c r="A111" t="s">
        <v>11</v>
      </c>
      <c r="B111" t="s">
        <v>73</v>
      </c>
      <c r="C111" t="s">
        <v>82</v>
      </c>
      <c r="D111" t="s">
        <v>83</v>
      </c>
      <c r="E111" t="s">
        <v>84</v>
      </c>
    </row>
    <row r="112" spans="1:5">
      <c r="B112" t="s">
        <v>76</v>
      </c>
      <c r="C112">
        <v>10</v>
      </c>
      <c r="D112">
        <v>12</v>
      </c>
      <c r="E112" t="str">
        <f>IF($C112&gt;$D112,"EXCEEDED","OK")</f>
        <v>OK</v>
      </c>
    </row>
    <row r="113" spans="1:5">
      <c r="B113" t="s">
        <v>77</v>
      </c>
      <c r="C113">
        <v>10</v>
      </c>
      <c r="D113">
        <v>15</v>
      </c>
      <c r="E113" t="str">
        <f t="shared" ref="E113:E114" si="3">IF($C113&gt;$D113,"EXCEEDED","OK")</f>
        <v>OK</v>
      </c>
    </row>
    <row r="114" spans="1:5">
      <c r="B114" t="s">
        <v>78</v>
      </c>
      <c r="C114">
        <v>8</v>
      </c>
      <c r="D114">
        <v>12</v>
      </c>
      <c r="E114" t="str">
        <f t="shared" si="3"/>
        <v>OK</v>
      </c>
    </row>
    <row r="116" spans="1:5" ht="29.25">
      <c r="B116" s="9" t="s">
        <v>85</v>
      </c>
    </row>
    <row r="118" spans="1:5" ht="29.25">
      <c r="A118" t="s">
        <v>86</v>
      </c>
      <c r="B118" s="1" t="s">
        <v>87</v>
      </c>
    </row>
    <row r="120" spans="1:5">
      <c r="B120" t="s">
        <v>88</v>
      </c>
      <c r="C120" t="s">
        <v>89</v>
      </c>
    </row>
    <row r="121" spans="1:5">
      <c r="B121" t="s">
        <v>90</v>
      </c>
      <c r="C121">
        <v>55000</v>
      </c>
    </row>
    <row r="122" spans="1:5">
      <c r="B122" t="s">
        <v>91</v>
      </c>
      <c r="C122">
        <v>72000</v>
      </c>
    </row>
    <row r="123" spans="1:5">
      <c r="B123" t="s">
        <v>92</v>
      </c>
      <c r="C123">
        <v>62000</v>
      </c>
    </row>
    <row r="124" spans="1:5">
      <c r="B124" t="s">
        <v>93</v>
      </c>
      <c r="C124">
        <v>41000</v>
      </c>
    </row>
    <row r="127" spans="1:5" ht="29.25">
      <c r="A127" t="s">
        <v>11</v>
      </c>
      <c r="B127" s="9" t="s">
        <v>94</v>
      </c>
    </row>
    <row r="128" spans="1:5">
      <c r="B128" s="1"/>
    </row>
    <row r="129" spans="1:5">
      <c r="B129" s="17" t="s">
        <v>88</v>
      </c>
      <c r="C129" s="17" t="s">
        <v>95</v>
      </c>
    </row>
    <row r="130" spans="1:5">
      <c r="B130" t="s">
        <v>96</v>
      </c>
      <c r="C130">
        <v>55000</v>
      </c>
      <c r="D130" s="16" t="s">
        <v>97</v>
      </c>
      <c r="E130" s="16">
        <f>INDEX(C130:C133,MATCH(D130,B130:B133,0))</f>
        <v>72000</v>
      </c>
    </row>
    <row r="131" spans="1:5">
      <c r="B131" t="s">
        <v>97</v>
      </c>
      <c r="C131">
        <v>72000</v>
      </c>
      <c r="E131" s="15"/>
    </row>
    <row r="132" spans="1:5">
      <c r="B132" t="s">
        <v>98</v>
      </c>
      <c r="C132">
        <v>62000</v>
      </c>
    </row>
    <row r="133" spans="1:5">
      <c r="B133" t="s">
        <v>99</v>
      </c>
      <c r="C133">
        <v>41000</v>
      </c>
    </row>
    <row r="135" spans="1:5" ht="43.5">
      <c r="A135" t="s">
        <v>100</v>
      </c>
      <c r="B135" s="1" t="s">
        <v>101</v>
      </c>
    </row>
    <row r="137" spans="1:5">
      <c r="B137" t="s">
        <v>102</v>
      </c>
      <c r="C137" t="s">
        <v>103</v>
      </c>
    </row>
    <row r="138" spans="1:5">
      <c r="B138" t="s">
        <v>104</v>
      </c>
      <c r="C138" t="s">
        <v>105</v>
      </c>
    </row>
    <row r="139" spans="1:5">
      <c r="B139" t="s">
        <v>106</v>
      </c>
      <c r="C139" t="s">
        <v>107</v>
      </c>
    </row>
    <row r="140" spans="1:5">
      <c r="B140" t="s">
        <v>98</v>
      </c>
      <c r="C140" t="s">
        <v>108</v>
      </c>
    </row>
    <row r="141" spans="1:5">
      <c r="B141" t="s">
        <v>109</v>
      </c>
      <c r="C141" t="s">
        <v>110</v>
      </c>
    </row>
    <row r="143" spans="1:5" ht="29.25">
      <c r="A143" t="s">
        <v>11</v>
      </c>
      <c r="B143" s="9" t="s">
        <v>111</v>
      </c>
    </row>
    <row r="146" spans="2:5">
      <c r="B146" t="s">
        <v>102</v>
      </c>
      <c r="C146" t="s">
        <v>112</v>
      </c>
    </row>
    <row r="147" spans="2:5">
      <c r="B147" t="s">
        <v>104</v>
      </c>
      <c r="C147" t="s">
        <v>105</v>
      </c>
      <c r="D147" s="7" t="s">
        <v>106</v>
      </c>
      <c r="E147" s="7" t="str">
        <f>_xlfn.XLOOKUP(D147,B147:B150,C147:C150,"NOT FOUND")</f>
        <v xml:space="preserve">           IT</v>
      </c>
    </row>
    <row r="148" spans="2:5">
      <c r="B148" t="s">
        <v>106</v>
      </c>
      <c r="C148" t="s">
        <v>107</v>
      </c>
      <c r="E148" s="15"/>
    </row>
    <row r="149" spans="2:5">
      <c r="B149" t="s">
        <v>98</v>
      </c>
      <c r="C149" t="s">
        <v>108</v>
      </c>
    </row>
    <row r="150" spans="2:5">
      <c r="B150" t="s">
        <v>109</v>
      </c>
      <c r="C15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2025-12-12T08:48:25Z</dcterms:created>
  <dcterms:modified xsi:type="dcterms:W3CDTF">2025-12-12T12:16:34Z</dcterms:modified>
  <cp:category/>
  <cp:contentStatus/>
</cp:coreProperties>
</file>